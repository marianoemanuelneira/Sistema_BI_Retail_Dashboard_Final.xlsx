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0602861\Desktop\"/>
    </mc:Choice>
  </mc:AlternateContent>
  <bookViews>
    <workbookView xWindow="0" yWindow="0" windowWidth="25200" windowHeight="10650"/>
  </bookViews>
  <sheets>
    <sheet name="Dashboard Final" sheetId="1" r:id="rId1"/>
    <sheet name="Datos_Modelados" sheetId="2" r:id="rId2"/>
    <sheet name="Auditoria_Cognitiva_IA" sheetId="3" r:id="rId3"/>
  </sheets>
  <definedNames>
    <definedName name="SegmentaciónDeDatos_Categoria">#N/A</definedName>
    <definedName name="SegmentaciónDeDatos_Region">#N/A</definedName>
    <definedName name="SegmentaciónDeDatos_Trimestre">#N/A</definedName>
  </definedNames>
  <calcPr calcId="162913"/>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9" i="1" l="1"/>
  <c r="D19" i="1"/>
  <c r="G19" i="1" s="1"/>
  <c r="B23" i="1"/>
  <c r="B26" i="1" s="1"/>
  <c r="C36" i="1"/>
  <c r="B36" i="1"/>
  <c r="C35" i="1"/>
  <c r="B35" i="1"/>
  <c r="C34" i="1"/>
  <c r="B34" i="1"/>
  <c r="C33" i="1"/>
  <c r="B33" i="1"/>
  <c r="B25" i="1"/>
  <c r="B24" i="1"/>
</calcChain>
</file>

<file path=xl/sharedStrings.xml><?xml version="1.0" encoding="utf-8"?>
<sst xmlns="http://schemas.openxmlformats.org/spreadsheetml/2006/main" count="106" uniqueCount="71">
  <si>
    <t>SISTEMA DE INTELIGENCIA DE NEGOCIOS - RETAIL</t>
  </si>
  <si>
    <t>Monitoreo Ejecutivo de Ventas, Rentabilidad y Eficiencia Logística | Módulo 9 Checkpoint</t>
  </si>
  <si>
    <t>CONTROLES DE FILTRADO NAVEGABLE (SEGMENTADORES ACTIVO)</t>
  </si>
  <si>
    <t>🏷️ CATEGORÍA: Todas las líneas</t>
  </si>
  <si>
    <t>📍 REGIÓN: Cobertura Nacional</t>
  </si>
  <si>
    <t>INDICADORES CLAVE DE RENDIMIENTO (KPIs) VS METAS</t>
  </si>
  <si>
    <t>% MARGEN DE GANANCIA</t>
  </si>
  <si>
    <t>ANÁLISIS DE CASCADA (WATERFALL): DESGLOSE DE INGRESOS A MARGEN NETO</t>
  </si>
  <si>
    <t>Concepto de Flujo</t>
  </si>
  <si>
    <t>Efecto</t>
  </si>
  <si>
    <t>Ventas Brutas Totales</t>
  </si>
  <si>
    <t>Base (+)</t>
  </si>
  <si>
    <t>(-) Costo de Mercadería (COGS)</t>
  </si>
  <si>
    <t>Sustracción (-)</t>
  </si>
  <si>
    <t>(-) Gastos de Logística y Envío</t>
  </si>
  <si>
    <t>(=) Margen Neto Consolidado</t>
  </si>
  <si>
    <t>Total (=)</t>
  </si>
  <si>
    <t>Trimestre</t>
  </si>
  <si>
    <t>Q1</t>
  </si>
  <si>
    <t>Q2</t>
  </si>
  <si>
    <t>Q3</t>
  </si>
  <si>
    <t>Q4</t>
  </si>
  <si>
    <t>Fecha</t>
  </si>
  <si>
    <t>Anio</t>
  </si>
  <si>
    <t>Region</t>
  </si>
  <si>
    <t>Categoria</t>
  </si>
  <si>
    <t>2026-01-15</t>
  </si>
  <si>
    <t>Norte</t>
  </si>
  <si>
    <t>Tecnología</t>
  </si>
  <si>
    <t>2026-02-10</t>
  </si>
  <si>
    <t>Sur</t>
  </si>
  <si>
    <t>Indumentaria</t>
  </si>
  <si>
    <t>2026-03-22</t>
  </si>
  <si>
    <t>Centro</t>
  </si>
  <si>
    <t>Hogar</t>
  </si>
  <si>
    <t>2026-04-18</t>
  </si>
  <si>
    <t>2026-05-05</t>
  </si>
  <si>
    <t>2026-06-12</t>
  </si>
  <si>
    <t>Oeste</t>
  </si>
  <si>
    <t>2026-07-08</t>
  </si>
  <si>
    <t>2026-08-19</t>
  </si>
  <si>
    <t>2026-09-30</t>
  </si>
  <si>
    <t>2026-10-14</t>
  </si>
  <si>
    <t>2026-11-20</t>
  </si>
  <si>
    <t>2026-12-15</t>
  </si>
  <si>
    <t>REGISTRO DE AUDITORÍA COGNITIVA Y VALIDACIÓN DE INSIGHTS CON IA</t>
  </si>
  <si>
    <t>Documentación del flujo profesional de interacción con ChatGPT para detectar sesgos y refinar la narrativa</t>
  </si>
  <si>
    <t>1. Contexto del Negocio y Datos Observados</t>
  </si>
  <si>
    <t>Analizamos un histórico de ventas de retail del año 2026 por trimestres, regiones (Norte, Sur, Centro, Oeste) y categorías (Tecnología, Indumentaria, Hogar). Observamos un crecimiento general del 35% en las ventas entre Q1 y Q4, pero con variaciones significativas en el margen neto.</t>
  </si>
  <si>
    <t>2. Análisis Humano Inicial (Mis 3 Conclusiones)</t>
  </si>
  <si>
    <t>• Conclusión 1: Las ventas totales crecieron sostenidamente desde Q3 impulsadas por Tecnología en la Región Norte.
• Conclusión 2: La categoría Indumentaria en la Región Sur presenta un margen neto decreciente a pesar del aumento de ventas.
• Conclusión 3: La Región Oeste mantiene el mejor equilibrio entre costo operativo y ventas totales.</t>
  </si>
  <si>
    <t>3. Prompt Enviado a ChatGPT (Abogado del Diablo)</t>
  </si>
  <si>
    <t>PROMPT UTILIZADO:
"Actúa como un Director Financiero (CFO) riguroso y crítico. Revisa mis 3 conclusiones sobre el reporte de retail 2026:
1. Afirmo que las ventas crecen por la demanda en Tecnología Norte.
2. Afirmo que Indumentaria en el Sur pierde rentabilidad por mala gestión comercial.
3. Afirmo que la Región Oeste es la más eficiente.
Desafía mis conclusiones con un análisis de 'abogado del diablo': ¿Qué sesgos estoy cometiendo? ¿Qué variables omitidas (como fletes, estacionalidad o inflación) podrían explicar estos patrones sin que sea un logro o falla comercial?"</t>
  </si>
  <si>
    <t>4. Devolución de la IA y Sesgos Detectados</t>
  </si>
  <si>
    <t>• Sesgo de Atribución Falsa en el Sur: La IA señaló que la pérdida de margen en Indumentaria (Región Sur) no era un problema de precio o ventas, sino un incremento dispar en los Costos Logísticos (+23%). Omití el impacto del flete regional.
• Efecto Estacionalidad en Q4: El aumento de ventas en Q4 responde a la estacionalidad natural de fin de año (Fiestas/CyberMonday) y no necesariamente a una mayor efectividad de las campañas comerciales.
• Ilusión de Eficiencia en Oeste: La alta rentabilidad del Oeste se debe a un volumen menor de transacciones pero con mayor ticket promedio, lo que atenúa los costos fijos.</t>
  </si>
  <si>
    <t>5. Refinamiento Final Aplicado al Dashboard</t>
  </si>
  <si>
    <t>1. Incorporación del Gráfico de Cascada (Waterfall) para separar explícitamente los Gastos de Logística de los Costos de Mercadería (COGS).
2. Inclusión de Notas Narrativas Ejecutivas en la tarjeta A18:H20 aclarando el impacto logístico en la Región Sur.
3. Configuración de 3 Slicers interactivos (Tiempo, Categoría, Región) para permitir auditoría inmediata de estas hipótesis.</t>
  </si>
  <si>
    <t>Ventas_$</t>
  </si>
  <si>
    <t>Costo_$</t>
  </si>
  <si>
    <t>Gastos_Logistica_$</t>
  </si>
  <si>
    <t>Margen_Neto_$</t>
  </si>
  <si>
    <t>VENTAS TOTALES ($)</t>
  </si>
  <si>
    <t>MARGEN NETO TOTAL ($)</t>
  </si>
  <si>
    <t>Monto $</t>
  </si>
  <si>
    <t>Ventas $</t>
  </si>
  <si>
    <t>Margen $</t>
  </si>
  <si>
    <t>Etiquetas de fila</t>
  </si>
  <si>
    <t>Total general</t>
  </si>
  <si>
    <t>Suma de Ventas_$</t>
  </si>
  <si>
    <t>TABLA DINAMICA</t>
  </si>
  <si>
    <t>📅 TRIMESTRES: 2026 (Q1 - 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</si>
</sst>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0%"/>
  </numFmts>
  <fonts count="10" x14ac:knownFonts="1">
    <font>
      <sz val="11"/>
      <color theme="1"/>
      <name val="Calibri"/>
      <family val="2"/>
      <scheme val="minor"/>
    </font>
    <font>
      <b/>
      <sz val="10"/>
      <color rgb="FFFFFFFF"/>
      <name val="Calibri"/>
    </font>
    <font>
      <sz val="10"/>
      <color rgb="FF333333"/>
      <name val="Calibri"/>
    </font>
    <font>
      <b/>
      <sz val="18"/>
      <color rgb="FF1F497D"/>
      <name val="Calibri"/>
    </font>
    <font>
      <i/>
      <sz val="10"/>
      <color rgb="FF595959"/>
      <name val="Calibri"/>
    </font>
    <font>
      <b/>
      <sz val="12"/>
      <color rgb="FF1F497D"/>
      <name val="Calibri"/>
    </font>
    <font>
      <b/>
      <sz val="9"/>
      <color rgb="FFFFFFFF"/>
      <name val="Calibri"/>
    </font>
    <font>
      <b/>
      <sz val="9"/>
      <color rgb="FF595959"/>
      <name val="Calibri"/>
    </font>
    <font>
      <b/>
      <sz val="10"/>
      <color rgb="FF333333"/>
      <name val="Calibri"/>
    </font>
    <font>
      <sz val="9.5"/>
      <color rgb="FF333333"/>
      <name val="Calibri"/>
    </font>
  </fonts>
  <fills count="6">
    <fill>
      <patternFill patternType="none"/>
    </fill>
    <fill>
      <patternFill patternType="gray125"/>
    </fill>
    <fill>
      <patternFill patternType="solid">
        <fgColor rgb="FF1F497D"/>
        <bgColor rgb="FF1F497D"/>
      </patternFill>
    </fill>
    <fill>
      <patternFill patternType="solid">
        <fgColor rgb="FF4F81BD"/>
        <bgColor rgb="FF4F81BD"/>
      </patternFill>
    </fill>
    <fill>
      <patternFill patternType="solid">
        <fgColor rgb="FFF2F5F9"/>
        <bgColor rgb="FFF2F5F9"/>
      </patternFill>
    </fill>
    <fill>
      <patternFill patternType="solid">
        <fgColor rgb="FFE2EFDA"/>
        <bgColor rgb="FFE2EFDA"/>
      </patternFill>
    </fill>
  </fills>
  <borders count="3">
    <border>
      <left/>
      <right/>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3" fillId="0" borderId="0" xfId="0" applyFont="1"/>
    <xf numFmtId="0" fontId="4" fillId="0" borderId="0" xfId="0" applyFont="1"/>
    <xf numFmtId="0" fontId="5" fillId="0" borderId="0" xfId="0" applyFont="1"/>
    <xf numFmtId="0" fontId="1" fillId="2" borderId="0" xfId="0" applyFont="1" applyFill="1" applyAlignment="1">
      <alignment horizontal="center"/>
    </xf>
    <xf numFmtId="0" fontId="2" fillId="0" borderId="1" xfId="0" applyFont="1" applyBorder="1"/>
    <xf numFmtId="164" fontId="2" fillId="0" borderId="1" xfId="0" applyNumberFormat="1" applyFont="1" applyBorder="1" applyAlignment="1">
      <alignment horizontal="right"/>
    </xf>
    <xf numFmtId="0" fontId="4" fillId="0" borderId="1" xfId="0" applyFont="1" applyBorder="1" applyAlignment="1">
      <alignment horizontal="center"/>
    </xf>
    <xf numFmtId="0" fontId="8" fillId="4" borderId="1" xfId="0" applyFont="1" applyFill="1" applyBorder="1"/>
    <xf numFmtId="164" fontId="8" fillId="4" borderId="1" xfId="0" applyNumberFormat="1" applyFont="1" applyFill="1" applyBorder="1" applyAlignment="1">
      <alignment horizontal="right"/>
    </xf>
    <xf numFmtId="0" fontId="4" fillId="4" borderId="1" xfId="0" applyFont="1" applyFill="1" applyBorder="1" applyAlignment="1">
      <alignment horizontal="center"/>
    </xf>
    <xf numFmtId="0" fontId="7" fillId="4" borderId="1" xfId="0" applyFont="1" applyFill="1" applyBorder="1" applyAlignment="1">
      <alignment horizontal="center" vertical="center"/>
    </xf>
    <xf numFmtId="0" fontId="0" fillId="0" borderId="0" xfId="0"/>
    <xf numFmtId="165" fontId="3" fillId="5" borderId="1" xfId="0" applyNumberFormat="1" applyFont="1" applyFill="1" applyBorder="1" applyAlignment="1">
      <alignment horizontal="center" vertical="center"/>
    </xf>
    <xf numFmtId="0" fontId="6" fillId="3" borderId="1" xfId="0" applyFont="1" applyFill="1" applyBorder="1" applyAlignment="1">
      <alignment horizontal="center" vertical="center"/>
    </xf>
    <xf numFmtId="0" fontId="9" fillId="4" borderId="1" xfId="0" applyFont="1" applyFill="1" applyBorder="1" applyAlignment="1">
      <alignment horizontal="left" vertical="top" wrapText="1"/>
    </xf>
    <xf numFmtId="164" fontId="3" fillId="5" borderId="1" xfId="0" applyNumberFormat="1" applyFont="1" applyFill="1" applyBorder="1" applyAlignment="1">
      <alignment horizontal="center" vertical="center"/>
    </xf>
    <xf numFmtId="0" fontId="2" fillId="4" borderId="1" xfId="0" applyFont="1" applyFill="1" applyBorder="1" applyAlignment="1">
      <alignment horizontal="left" vertical="top" wrapText="1"/>
    </xf>
    <xf numFmtId="0" fontId="0" fillId="4" borderId="1" xfId="0" applyFill="1" applyBorder="1"/>
    <xf numFmtId="0" fontId="5" fillId="0" borderId="0" xfId="0" applyFont="1" applyAlignment="1">
      <alignment wrapText="1"/>
    </xf>
    <xf numFmtId="0" fontId="0" fillId="0" borderId="0" xfId="0" applyAlignment="1">
      <alignment wrapText="1"/>
    </xf>
    <xf numFmtId="0" fontId="0" fillId="4" borderId="1" xfId="0" applyFill="1" applyBorder="1" applyAlignment="1">
      <alignment wrapText="1"/>
    </xf>
    <xf numFmtId="0" fontId="0" fillId="0" borderId="2" xfId="0" applyBorder="1"/>
    <xf numFmtId="0" fontId="0" fillId="0" borderId="2" xfId="0" applyBorder="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s-AR"/>
              <a:t>Evolución Trimestral de Ventas y Margen Neto ($)</a:t>
            </a:r>
          </a:p>
        </c:rich>
      </c:tx>
      <c:layout/>
      <c:overlay val="0"/>
    </c:title>
    <c:autoTitleDeleted val="0"/>
    <c:plotArea>
      <c:layout/>
      <c:barChart>
        <c:barDir val="col"/>
        <c:grouping val="clustered"/>
        <c:varyColors val="0"/>
        <c:ser>
          <c:idx val="0"/>
          <c:order val="0"/>
          <c:tx>
            <c:strRef>
              <c:f>'Dashboard Final'!$B$32</c:f>
              <c:strCache>
                <c:ptCount val="1"/>
                <c:pt idx="0">
                  <c:v>Ventas $</c:v>
                </c:pt>
              </c:strCache>
            </c:strRef>
          </c:tx>
          <c:spPr>
            <a:ln>
              <a:prstDash val="solid"/>
            </a:ln>
          </c:spPr>
          <c:invertIfNegative val="0"/>
          <c:cat>
            <c:strRef>
              <c:f>'Dashboard Final'!$A$33:$A$36</c:f>
              <c:strCache>
                <c:ptCount val="4"/>
                <c:pt idx="0">
                  <c:v>Q1</c:v>
                </c:pt>
                <c:pt idx="1">
                  <c:v>Q2</c:v>
                </c:pt>
                <c:pt idx="2">
                  <c:v>Q3</c:v>
                </c:pt>
                <c:pt idx="3">
                  <c:v>Q4</c:v>
                </c:pt>
              </c:strCache>
            </c:strRef>
          </c:cat>
          <c:val>
            <c:numRef>
              <c:f>'Dashboard Final'!$B$33:$B$36</c:f>
              <c:numCache>
                <c:formatCode>General</c:formatCode>
                <c:ptCount val="4"/>
                <c:pt idx="0">
                  <c:v>300000</c:v>
                </c:pt>
                <c:pt idx="1">
                  <c:v>318000</c:v>
                </c:pt>
                <c:pt idx="2">
                  <c:v>397000</c:v>
                </c:pt>
                <c:pt idx="3">
                  <c:v>450000</c:v>
                </c:pt>
              </c:numCache>
            </c:numRef>
          </c:val>
          <c:extLst>
            <c:ext xmlns:c16="http://schemas.microsoft.com/office/drawing/2014/chart" uri="{C3380CC4-5D6E-409C-BE32-E72D297353CC}">
              <c16:uniqueId val="{00000000-BED1-433D-80EB-5B2279839327}"/>
            </c:ext>
          </c:extLst>
        </c:ser>
        <c:ser>
          <c:idx val="1"/>
          <c:order val="1"/>
          <c:tx>
            <c:strRef>
              <c:f>'Dashboard Final'!$C$32</c:f>
              <c:strCache>
                <c:ptCount val="1"/>
                <c:pt idx="0">
                  <c:v>Margen $</c:v>
                </c:pt>
              </c:strCache>
            </c:strRef>
          </c:tx>
          <c:spPr>
            <a:ln>
              <a:prstDash val="solid"/>
            </a:ln>
          </c:spPr>
          <c:invertIfNegative val="0"/>
          <c:cat>
            <c:strRef>
              <c:f>'Dashboard Final'!$A$33:$A$36</c:f>
              <c:strCache>
                <c:ptCount val="4"/>
                <c:pt idx="0">
                  <c:v>Q1</c:v>
                </c:pt>
                <c:pt idx="1">
                  <c:v>Q2</c:v>
                </c:pt>
                <c:pt idx="2">
                  <c:v>Q3</c:v>
                </c:pt>
                <c:pt idx="3">
                  <c:v>Q4</c:v>
                </c:pt>
              </c:strCache>
            </c:strRef>
          </c:cat>
          <c:val>
            <c:numRef>
              <c:f>'Dashboard Final'!$C$33:$C$36</c:f>
              <c:numCache>
                <c:formatCode>General</c:formatCode>
                <c:ptCount val="4"/>
                <c:pt idx="0">
                  <c:v>93000</c:v>
                </c:pt>
                <c:pt idx="1">
                  <c:v>92000</c:v>
                </c:pt>
                <c:pt idx="2">
                  <c:v>135000</c:v>
                </c:pt>
                <c:pt idx="3">
                  <c:v>155000</c:v>
                </c:pt>
              </c:numCache>
            </c:numRef>
          </c:val>
          <c:extLst>
            <c:ext xmlns:c16="http://schemas.microsoft.com/office/drawing/2014/chart" uri="{C3380CC4-5D6E-409C-BE32-E72D297353CC}">
              <c16:uniqueId val="{00000001-BED1-433D-80EB-5B2279839327}"/>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s-AR"/>
                  <a:t>Trimestres 2026</a:t>
                </a:r>
              </a:p>
            </c:rich>
          </c:tx>
          <c:layout/>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s-AR"/>
                  <a:t>Monto USD</a:t>
                </a:r>
              </a:p>
            </c:rich>
          </c:tx>
          <c:layout/>
          <c:overlay val="0"/>
        </c:title>
        <c:numFmt formatCode="General" sourceLinked="1"/>
        <c:majorTickMark val="none"/>
        <c:minorTickMark val="none"/>
        <c:tickLblPos val="nextTo"/>
        <c:crossAx val="1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123825</xdr:colOff>
      <xdr:row>21</xdr:row>
      <xdr:rowOff>38100</xdr:rowOff>
    </xdr:from>
    <xdr:ext cx="6480000" cy="306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editAs="oneCell">
    <xdr:from>
      <xdr:col>0</xdr:col>
      <xdr:colOff>542925</xdr:colOff>
      <xdr:row>5</xdr:row>
      <xdr:rowOff>133350</xdr:rowOff>
    </xdr:from>
    <xdr:to>
      <xdr:col>1</xdr:col>
      <xdr:colOff>371475</xdr:colOff>
      <xdr:row>13</xdr:row>
      <xdr:rowOff>123825</xdr:rowOff>
    </xdr:to>
    <mc:AlternateContent xmlns:mc="http://schemas.openxmlformats.org/markup-compatibility/2006">
      <mc:Choice xmlns:a14="http://schemas.microsoft.com/office/drawing/2010/main" Requires="a14">
        <xdr:graphicFrame macro="">
          <xdr:nvGraphicFramePr>
            <xdr:cNvPr id="3" name="Trimestre"/>
            <xdr:cNvGraphicFramePr/>
          </xdr:nvGraphicFramePr>
          <xdr:xfrm>
            <a:off x="0" y="0"/>
            <a:ext cx="0" cy="0"/>
          </xdr:xfrm>
          <a:graphic>
            <a:graphicData uri="http://schemas.microsoft.com/office/drawing/2010/slicer">
              <sle:slicer xmlns:sle="http://schemas.microsoft.com/office/drawing/2010/slicer" name="Trimestre"/>
            </a:graphicData>
          </a:graphic>
        </xdr:graphicFrame>
      </mc:Choice>
      <mc:Fallback>
        <xdr:sp macro="" textlink="">
          <xdr:nvSpPr>
            <xdr:cNvPr id="0" name=""/>
            <xdr:cNvSpPr>
              <a:spLocks noTextEdit="1"/>
            </xdr:cNvSpPr>
          </xdr:nvSpPr>
          <xdr:spPr>
            <a:xfrm>
              <a:off x="542925" y="1200150"/>
              <a:ext cx="1828800" cy="151447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6</xdr:col>
      <xdr:colOff>257175</xdr:colOff>
      <xdr:row>5</xdr:row>
      <xdr:rowOff>104776</xdr:rowOff>
    </xdr:from>
    <xdr:to>
      <xdr:col>7</xdr:col>
      <xdr:colOff>885825</xdr:colOff>
      <xdr:row>13</xdr:row>
      <xdr:rowOff>66676</xdr:rowOff>
    </xdr:to>
    <mc:AlternateContent xmlns:mc="http://schemas.openxmlformats.org/markup-compatibility/2006">
      <mc:Choice xmlns:a14="http://schemas.microsoft.com/office/drawing/2010/main"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258175" y="1171576"/>
              <a:ext cx="1828800" cy="14859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3</xdr:col>
      <xdr:colOff>247650</xdr:colOff>
      <xdr:row>5</xdr:row>
      <xdr:rowOff>133350</xdr:rowOff>
    </xdr:from>
    <xdr:to>
      <xdr:col>4</xdr:col>
      <xdr:colOff>876300</xdr:colOff>
      <xdr:row>11</xdr:row>
      <xdr:rowOff>161925</xdr:rowOff>
    </xdr:to>
    <mc:AlternateContent xmlns:mc="http://schemas.openxmlformats.org/markup-compatibility/2006">
      <mc:Choice xmlns:a14="http://schemas.microsoft.com/office/drawing/2010/main" Requires="a14">
        <xdr:graphicFrame macro="">
          <xdr:nvGraphicFramePr>
            <xdr:cNvPr id="5" name="Categoria"/>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dr:sp macro="" textlink="">
          <xdr:nvSpPr>
            <xdr:cNvPr id="0" name=""/>
            <xdr:cNvSpPr>
              <a:spLocks noTextEdit="1"/>
            </xdr:cNvSpPr>
          </xdr:nvSpPr>
          <xdr:spPr>
            <a:xfrm>
              <a:off x="4648200" y="1200150"/>
              <a:ext cx="1828800" cy="117157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ia S FEL" refreshedDate="46275.434464120372" createdVersion="6" refreshedVersion="6" minRefreshableVersion="3" recordCount="12">
  <cacheSource type="worksheet">
    <worksheetSource ref="A1:I13" sheet="Datos_Modelados"/>
  </cacheSource>
  <cacheFields count="9">
    <cacheField name="Fecha" numFmtId="0">
      <sharedItems/>
    </cacheField>
    <cacheField name="Anio" numFmtId="0">
      <sharedItems containsSemiMixedTypes="0" containsString="0" containsNumber="1" containsInteger="1" minValue="2026" maxValue="2026"/>
    </cacheField>
    <cacheField name="Trimestre" numFmtId="0">
      <sharedItems count="4">
        <s v="Q1"/>
        <s v="Q2"/>
        <s v="Q3"/>
        <s v="Q4"/>
      </sharedItems>
    </cacheField>
    <cacheField name="Region" numFmtId="0">
      <sharedItems count="4">
        <s v="Norte"/>
        <s v="Sur"/>
        <s v="Centro"/>
        <s v="Oeste"/>
      </sharedItems>
    </cacheField>
    <cacheField name="Categoria" numFmtId="0">
      <sharedItems count="3">
        <s v="Tecnología"/>
        <s v="Indumentaria"/>
        <s v="Hogar"/>
      </sharedItems>
    </cacheField>
    <cacheField name="Ventas_$" numFmtId="164">
      <sharedItems containsSemiMixedTypes="0" containsString="0" containsNumber="1" containsInteger="1" minValue="78000" maxValue="185000" count="12">
        <n v="120000"/>
        <n v="85000"/>
        <n v="95000"/>
        <n v="130000"/>
        <n v="78000"/>
        <n v="110000"/>
        <n v="165000"/>
        <n v="92000"/>
        <n v="140000"/>
        <n v="185000"/>
        <n v="105000"/>
        <n v="160000"/>
      </sharedItems>
    </cacheField>
    <cacheField name="Costo_$" numFmtId="164">
      <sharedItems containsSemiMixedTypes="0" containsString="0" containsNumber="1" containsInteger="1" minValue="38000" maxValue="98000"/>
    </cacheField>
    <cacheField name="Gastos_Logistica_$" numFmtId="164">
      <sharedItems containsSemiMixedTypes="0" containsString="0" containsNumber="1" containsInteger="1" minValue="14000" maxValue="25000"/>
    </cacheField>
    <cacheField name="Margen_Neto_$" numFmtId="164">
      <sharedItems containsSemiMixedTypes="0" containsString="0" containsNumber="1" containsInteger="1" minValue="20000" maxValue="68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
  <r>
    <s v="2026-01-15"/>
    <n v="2026"/>
    <x v="0"/>
    <x v="0"/>
    <x v="0"/>
    <x v="0"/>
    <n v="70000"/>
    <n v="15000"/>
    <n v="35000"/>
  </r>
  <r>
    <s v="2026-02-10"/>
    <n v="2026"/>
    <x v="0"/>
    <x v="1"/>
    <x v="1"/>
    <x v="1"/>
    <n v="40000"/>
    <n v="18000"/>
    <n v="27000"/>
  </r>
  <r>
    <s v="2026-03-22"/>
    <n v="2026"/>
    <x v="0"/>
    <x v="2"/>
    <x v="2"/>
    <x v="2"/>
    <n v="50000"/>
    <n v="14000"/>
    <n v="31000"/>
  </r>
  <r>
    <s v="2026-04-18"/>
    <n v="2026"/>
    <x v="1"/>
    <x v="0"/>
    <x v="0"/>
    <x v="3"/>
    <n v="75000"/>
    <n v="17000"/>
    <n v="38000"/>
  </r>
  <r>
    <s v="2026-05-05"/>
    <n v="2026"/>
    <x v="1"/>
    <x v="1"/>
    <x v="1"/>
    <x v="4"/>
    <n v="38000"/>
    <n v="20000"/>
    <n v="20000"/>
  </r>
  <r>
    <s v="2026-06-12"/>
    <n v="2026"/>
    <x v="1"/>
    <x v="3"/>
    <x v="2"/>
    <x v="5"/>
    <n v="60000"/>
    <n v="16000"/>
    <n v="34000"/>
  </r>
  <r>
    <s v="2026-07-08"/>
    <n v="2026"/>
    <x v="2"/>
    <x v="0"/>
    <x v="0"/>
    <x v="6"/>
    <n v="90000"/>
    <n v="18000"/>
    <n v="57000"/>
  </r>
  <r>
    <s v="2026-08-19"/>
    <n v="2026"/>
    <x v="2"/>
    <x v="1"/>
    <x v="1"/>
    <x v="7"/>
    <n v="45000"/>
    <n v="22000"/>
    <n v="25000"/>
  </r>
  <r>
    <s v="2026-09-30"/>
    <n v="2026"/>
    <x v="2"/>
    <x v="2"/>
    <x v="2"/>
    <x v="8"/>
    <n v="72000"/>
    <n v="15000"/>
    <n v="53000"/>
  </r>
  <r>
    <s v="2026-10-14"/>
    <n v="2026"/>
    <x v="3"/>
    <x v="0"/>
    <x v="0"/>
    <x v="9"/>
    <n v="98000"/>
    <n v="19000"/>
    <n v="68000"/>
  </r>
  <r>
    <s v="2026-11-20"/>
    <n v="2026"/>
    <x v="3"/>
    <x v="1"/>
    <x v="1"/>
    <x v="10"/>
    <n v="50000"/>
    <n v="25000"/>
    <n v="30000"/>
  </r>
  <r>
    <s v="2026-12-15"/>
    <n v="2026"/>
    <x v="3"/>
    <x v="3"/>
    <x v="2"/>
    <x v="11"/>
    <n v="85000"/>
    <n v="18000"/>
    <n v="57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2" cacheId="5"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J6:K11" firstHeaderRow="1" firstDataRow="1" firstDataCol="1"/>
  <pivotFields count="9">
    <pivotField showAll="0" defaultSubtotal="0"/>
    <pivotField showAll="0" defaultSubtotal="0"/>
    <pivotField axis="axisRow" showAll="0" defaultSubtotal="0">
      <items count="4">
        <item x="0"/>
        <item x="1"/>
        <item x="2"/>
        <item x="3"/>
      </items>
    </pivotField>
    <pivotField showAll="0" defaultSubtotal="0">
      <items count="4">
        <item x="2"/>
        <item x="0"/>
        <item x="3"/>
        <item x="1"/>
      </items>
    </pivotField>
    <pivotField showAll="0" defaultSubtotal="0">
      <items count="3">
        <item x="2"/>
        <item x="1"/>
        <item x="0"/>
      </items>
    </pivotField>
    <pivotField dataField="1" numFmtId="164" showAll="0" defaultSubtotal="0">
      <items count="12">
        <item x="4"/>
        <item x="1"/>
        <item x="7"/>
        <item x="2"/>
        <item x="10"/>
        <item x="5"/>
        <item x="0"/>
        <item x="3"/>
        <item x="8"/>
        <item x="11"/>
        <item x="6"/>
        <item x="9"/>
      </items>
    </pivotField>
    <pivotField numFmtId="164" showAll="0" defaultSubtotal="0"/>
    <pivotField numFmtId="164" showAll="0" defaultSubtotal="0"/>
    <pivotField numFmtId="164" showAll="0" defaultSubtotal="0"/>
  </pivotFields>
  <rowFields count="1">
    <field x="2"/>
  </rowFields>
  <rowItems count="5">
    <i>
      <x/>
    </i>
    <i>
      <x v="1"/>
    </i>
    <i>
      <x v="2"/>
    </i>
    <i>
      <x v="3"/>
    </i>
    <i t="grand">
      <x/>
    </i>
  </rowItems>
  <colItems count="1">
    <i/>
  </colItems>
  <dataFields count="1">
    <dataField name="Suma de Ventas_$" fld="5" baseField="0" baseItem="0"/>
  </dataField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egmentaciónDeDatos_Trimestre" sourceName="Trimestre">
  <pivotTables>
    <pivotTable tabId="1" name="TablaDinámica2"/>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egmentaciónDeDatos_Region" sourceName="Region">
  <pivotTables>
    <pivotTable tabId="1" name="TablaDinámica2"/>
  </pivotTables>
  <data>
    <tabular pivotCacheId="1">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egmentaciónDeDatos_Categoria" sourceName="Categoria">
  <pivotTables>
    <pivotTable tabId="1" name="TablaDinámica2"/>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rimestre" cache="SegmentaciónDeDatos_Trimestre" caption="Trimestre" rowHeight="241300"/>
  <slicer name="Region" cache="SegmentaciónDeDatos_Region" caption="Region" rowHeight="241300"/>
  <slicer name="Categoria" cache="SegmentaciónDeDatos_Categoria" caption="Categoria"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showGridLines="0" tabSelected="1" topLeftCell="A13" workbookViewId="0">
      <selection activeCell="A39" sqref="A39"/>
    </sheetView>
  </sheetViews>
  <sheetFormatPr baseColWidth="10" defaultColWidth="9.140625" defaultRowHeight="15" x14ac:dyDescent="0.25"/>
  <cols>
    <col min="1" max="1" width="30" customWidth="1"/>
    <col min="2" max="8" width="18" customWidth="1"/>
    <col min="10" max="10" width="17.5703125" bestFit="1" customWidth="1"/>
    <col min="11" max="11" width="17.28515625" bestFit="1" customWidth="1"/>
  </cols>
  <sheetData>
    <row r="1" spans="1:11" ht="23.25" x14ac:dyDescent="0.35">
      <c r="A1" s="1" t="s">
        <v>0</v>
      </c>
    </row>
    <row r="2" spans="1:11" x14ac:dyDescent="0.25">
      <c r="A2" s="2" t="s">
        <v>1</v>
      </c>
    </row>
    <row r="4" spans="1:11" ht="15.75" x14ac:dyDescent="0.25">
      <c r="A4" s="3" t="s">
        <v>2</v>
      </c>
    </row>
    <row r="5" spans="1:11" x14ac:dyDescent="0.25">
      <c r="A5" s="14" t="s">
        <v>70</v>
      </c>
      <c r="B5" s="12"/>
      <c r="D5" s="14" t="s">
        <v>3</v>
      </c>
      <c r="E5" s="12"/>
      <c r="G5" s="14" t="s">
        <v>4</v>
      </c>
      <c r="H5" s="12"/>
      <c r="J5" s="14" t="s">
        <v>69</v>
      </c>
      <c r="K5" s="12"/>
    </row>
    <row r="6" spans="1:11" x14ac:dyDescent="0.25">
      <c r="J6" s="24" t="s">
        <v>66</v>
      </c>
      <c r="K6" t="s">
        <v>68</v>
      </c>
    </row>
    <row r="7" spans="1:11" x14ac:dyDescent="0.25">
      <c r="J7" s="25" t="s">
        <v>18</v>
      </c>
      <c r="K7" s="26">
        <v>300000</v>
      </c>
    </row>
    <row r="8" spans="1:11" x14ac:dyDescent="0.25">
      <c r="J8" s="25" t="s">
        <v>19</v>
      </c>
      <c r="K8" s="26">
        <v>318000</v>
      </c>
    </row>
    <row r="9" spans="1:11" x14ac:dyDescent="0.25">
      <c r="J9" s="25" t="s">
        <v>20</v>
      </c>
      <c r="K9" s="26">
        <v>397000</v>
      </c>
    </row>
    <row r="10" spans="1:11" x14ac:dyDescent="0.25">
      <c r="J10" s="25" t="s">
        <v>21</v>
      </c>
      <c r="K10" s="26">
        <v>450000</v>
      </c>
    </row>
    <row r="11" spans="1:11" x14ac:dyDescent="0.25">
      <c r="J11" s="25" t="s">
        <v>67</v>
      </c>
      <c r="K11" s="26">
        <v>1465000</v>
      </c>
    </row>
    <row r="17" spans="1:8" ht="15.75" x14ac:dyDescent="0.25">
      <c r="A17" s="3" t="s">
        <v>5</v>
      </c>
    </row>
    <row r="18" spans="1:8" x14ac:dyDescent="0.25">
      <c r="A18" s="11" t="s">
        <v>61</v>
      </c>
      <c r="B18" s="12"/>
      <c r="D18" s="11" t="s">
        <v>62</v>
      </c>
      <c r="E18" s="12"/>
      <c r="G18" s="11" t="s">
        <v>6</v>
      </c>
      <c r="H18" s="12"/>
    </row>
    <row r="19" spans="1:8" ht="23.25" x14ac:dyDescent="0.25">
      <c r="A19" s="16">
        <f>SUM(Datos_Modelados!F2:F13)</f>
        <v>1465000</v>
      </c>
      <c r="B19" s="12"/>
      <c r="D19" s="16">
        <f>SUM(Datos_Modelados!I2:I13)</f>
        <v>475000</v>
      </c>
      <c r="E19" s="12"/>
      <c r="G19" s="13">
        <f>D19/A19</f>
        <v>0.32423208191126279</v>
      </c>
      <c r="H19" s="12"/>
    </row>
    <row r="21" spans="1:8" ht="15.75" x14ac:dyDescent="0.25">
      <c r="A21" s="3" t="s">
        <v>7</v>
      </c>
    </row>
    <row r="22" spans="1:8" x14ac:dyDescent="0.25">
      <c r="A22" s="4" t="s">
        <v>8</v>
      </c>
      <c r="B22" s="4" t="s">
        <v>63</v>
      </c>
      <c r="C22" s="4" t="s">
        <v>9</v>
      </c>
    </row>
    <row r="23" spans="1:8" x14ac:dyDescent="0.25">
      <c r="A23" s="5" t="s">
        <v>10</v>
      </c>
      <c r="B23" s="6">
        <f>SUM(Datos_Modelados!F2:F13)</f>
        <v>1465000</v>
      </c>
      <c r="C23" s="7" t="s">
        <v>11</v>
      </c>
    </row>
    <row r="24" spans="1:8" x14ac:dyDescent="0.25">
      <c r="A24" s="5" t="s">
        <v>12</v>
      </c>
      <c r="B24" s="6">
        <f>-SUM(Datos_Modelados!G2:G13)</f>
        <v>-773000</v>
      </c>
      <c r="C24" s="7" t="s">
        <v>13</v>
      </c>
    </row>
    <row r="25" spans="1:8" x14ac:dyDescent="0.25">
      <c r="A25" s="5" t="s">
        <v>14</v>
      </c>
      <c r="B25" s="6">
        <f>-SUM(Datos_Modelados!H2:H13)</f>
        <v>-217000</v>
      </c>
      <c r="C25" s="7" t="s">
        <v>13</v>
      </c>
    </row>
    <row r="26" spans="1:8" x14ac:dyDescent="0.25">
      <c r="A26" s="8" t="s">
        <v>15</v>
      </c>
      <c r="B26" s="9">
        <f>SUM(B23:B25)</f>
        <v>475000</v>
      </c>
      <c r="C26" s="10" t="s">
        <v>16</v>
      </c>
    </row>
    <row r="28" spans="1:8" x14ac:dyDescent="0.25">
      <c r="A28" s="15"/>
      <c r="B28" s="12"/>
      <c r="C28" s="12"/>
      <c r="D28" s="12"/>
      <c r="E28" s="12"/>
      <c r="F28" s="12"/>
      <c r="G28" s="12"/>
      <c r="H28" s="12"/>
    </row>
    <row r="29" spans="1:8" x14ac:dyDescent="0.25">
      <c r="A29" s="12"/>
      <c r="B29" s="12"/>
      <c r="C29" s="12"/>
      <c r="D29" s="12"/>
      <c r="E29" s="12"/>
      <c r="F29" s="12"/>
      <c r="G29" s="12"/>
      <c r="H29" s="12"/>
    </row>
    <row r="30" spans="1:8" x14ac:dyDescent="0.25">
      <c r="A30" s="12"/>
      <c r="B30" s="12"/>
      <c r="C30" s="12"/>
      <c r="D30" s="12"/>
      <c r="E30" s="12"/>
      <c r="F30" s="12"/>
      <c r="G30" s="12"/>
      <c r="H30" s="12"/>
    </row>
    <row r="32" spans="1:8" x14ac:dyDescent="0.25">
      <c r="A32" s="22" t="s">
        <v>17</v>
      </c>
      <c r="B32" s="23" t="s">
        <v>64</v>
      </c>
      <c r="C32" s="23" t="s">
        <v>65</v>
      </c>
    </row>
    <row r="33" spans="1:3" x14ac:dyDescent="0.25">
      <c r="A33" s="22" t="s">
        <v>18</v>
      </c>
      <c r="B33" s="23">
        <f>SUMIFS(Datos_Modelados!$F$2:$F$13, Datos_Modelados!$C$2:$C$13, A33)</f>
        <v>300000</v>
      </c>
      <c r="C33" s="23">
        <f>SUMIFS(Datos_Modelados!$I$2:$I$13, Datos_Modelados!$C$2:$C$13, A33)</f>
        <v>93000</v>
      </c>
    </row>
    <row r="34" spans="1:3" x14ac:dyDescent="0.25">
      <c r="A34" s="22" t="s">
        <v>19</v>
      </c>
      <c r="B34" s="23">
        <f>SUMIFS(Datos_Modelados!$F$2:$F$13, Datos_Modelados!$C$2:$C$13, A34)</f>
        <v>318000</v>
      </c>
      <c r="C34" s="23">
        <f>SUMIFS(Datos_Modelados!$I$2:$I$13, Datos_Modelados!$C$2:$C$13, A34)</f>
        <v>92000</v>
      </c>
    </row>
    <row r="35" spans="1:3" x14ac:dyDescent="0.25">
      <c r="A35" s="22" t="s">
        <v>20</v>
      </c>
      <c r="B35" s="23">
        <f>SUMIFS(Datos_Modelados!$F$2:$F$13, Datos_Modelados!$C$2:$C$13, A35)</f>
        <v>397000</v>
      </c>
      <c r="C35" s="23">
        <f>SUMIFS(Datos_Modelados!$I$2:$I$13, Datos_Modelados!$C$2:$C$13, A35)</f>
        <v>135000</v>
      </c>
    </row>
    <row r="36" spans="1:3" x14ac:dyDescent="0.25">
      <c r="A36" s="22" t="s">
        <v>21</v>
      </c>
      <c r="B36" s="23">
        <f>SUMIFS(Datos_Modelados!$F$2:$F$13, Datos_Modelados!$C$2:$C$13, A36)</f>
        <v>450000</v>
      </c>
      <c r="C36" s="23">
        <f>SUMIFS(Datos_Modelados!$I$2:$I$13, Datos_Modelados!$C$2:$C$13, A36)</f>
        <v>155000</v>
      </c>
    </row>
  </sheetData>
  <mergeCells count="11">
    <mergeCell ref="A28:H30"/>
    <mergeCell ref="A19:B19"/>
    <mergeCell ref="D19:E19"/>
    <mergeCell ref="A18:B18"/>
    <mergeCell ref="J5:K5"/>
    <mergeCell ref="D18:E18"/>
    <mergeCell ref="G18:H18"/>
    <mergeCell ref="G19:H19"/>
    <mergeCell ref="D5:E5"/>
    <mergeCell ref="A5:B5"/>
    <mergeCell ref="G5:H5"/>
  </mergeCells>
  <pageMargins left="0.75" right="0.75" top="1" bottom="1" header="0.5" footer="0.5"/>
  <pageSetup paperSize="9"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E24" sqref="E24"/>
    </sheetView>
  </sheetViews>
  <sheetFormatPr baseColWidth="10" defaultColWidth="9.140625" defaultRowHeight="15" x14ac:dyDescent="0.25"/>
  <cols>
    <col min="1" max="1" width="10.140625" bestFit="1" customWidth="1"/>
    <col min="5" max="5" width="11.7109375" bestFit="1" customWidth="1"/>
    <col min="6" max="6" width="10.42578125" bestFit="1" customWidth="1"/>
    <col min="7" max="7" width="9.42578125" bestFit="1" customWidth="1"/>
    <col min="8" max="8" width="17.7109375" bestFit="1" customWidth="1"/>
    <col min="9" max="9" width="15.85546875" bestFit="1" customWidth="1"/>
  </cols>
  <sheetData>
    <row r="1" spans="1:9" x14ac:dyDescent="0.25">
      <c r="A1" s="4" t="s">
        <v>22</v>
      </c>
      <c r="B1" s="4" t="s">
        <v>23</v>
      </c>
      <c r="C1" s="4" t="s">
        <v>17</v>
      </c>
      <c r="D1" s="4" t="s">
        <v>24</v>
      </c>
      <c r="E1" s="4" t="s">
        <v>25</v>
      </c>
      <c r="F1" s="4" t="s">
        <v>57</v>
      </c>
      <c r="G1" s="4" t="s">
        <v>58</v>
      </c>
      <c r="H1" s="4" t="s">
        <v>59</v>
      </c>
      <c r="I1" s="4" t="s">
        <v>60</v>
      </c>
    </row>
    <row r="2" spans="1:9" x14ac:dyDescent="0.25">
      <c r="A2" s="5" t="s">
        <v>26</v>
      </c>
      <c r="B2" s="5">
        <v>2026</v>
      </c>
      <c r="C2" s="5" t="s">
        <v>18</v>
      </c>
      <c r="D2" s="5" t="s">
        <v>27</v>
      </c>
      <c r="E2" s="5" t="s">
        <v>28</v>
      </c>
      <c r="F2" s="6">
        <v>120000</v>
      </c>
      <c r="G2" s="6">
        <v>70000</v>
      </c>
      <c r="H2" s="6">
        <v>15000</v>
      </c>
      <c r="I2" s="6">
        <v>35000</v>
      </c>
    </row>
    <row r="3" spans="1:9" x14ac:dyDescent="0.25">
      <c r="A3" s="5" t="s">
        <v>29</v>
      </c>
      <c r="B3" s="5">
        <v>2026</v>
      </c>
      <c r="C3" s="5" t="s">
        <v>18</v>
      </c>
      <c r="D3" s="5" t="s">
        <v>30</v>
      </c>
      <c r="E3" s="5" t="s">
        <v>31</v>
      </c>
      <c r="F3" s="6">
        <v>85000</v>
      </c>
      <c r="G3" s="6">
        <v>40000</v>
      </c>
      <c r="H3" s="6">
        <v>18000</v>
      </c>
      <c r="I3" s="6">
        <v>27000</v>
      </c>
    </row>
    <row r="4" spans="1:9" x14ac:dyDescent="0.25">
      <c r="A4" s="5" t="s">
        <v>32</v>
      </c>
      <c r="B4" s="5">
        <v>2026</v>
      </c>
      <c r="C4" s="5" t="s">
        <v>18</v>
      </c>
      <c r="D4" s="5" t="s">
        <v>33</v>
      </c>
      <c r="E4" s="5" t="s">
        <v>34</v>
      </c>
      <c r="F4" s="6">
        <v>95000</v>
      </c>
      <c r="G4" s="6">
        <v>50000</v>
      </c>
      <c r="H4" s="6">
        <v>14000</v>
      </c>
      <c r="I4" s="6">
        <v>31000</v>
      </c>
    </row>
    <row r="5" spans="1:9" x14ac:dyDescent="0.25">
      <c r="A5" s="5" t="s">
        <v>35</v>
      </c>
      <c r="B5" s="5">
        <v>2026</v>
      </c>
      <c r="C5" s="5" t="s">
        <v>19</v>
      </c>
      <c r="D5" s="5" t="s">
        <v>27</v>
      </c>
      <c r="E5" s="5" t="s">
        <v>28</v>
      </c>
      <c r="F5" s="6">
        <v>130000</v>
      </c>
      <c r="G5" s="6">
        <v>75000</v>
      </c>
      <c r="H5" s="6">
        <v>17000</v>
      </c>
      <c r="I5" s="6">
        <v>38000</v>
      </c>
    </row>
    <row r="6" spans="1:9" x14ac:dyDescent="0.25">
      <c r="A6" s="5" t="s">
        <v>36</v>
      </c>
      <c r="B6" s="5">
        <v>2026</v>
      </c>
      <c r="C6" s="5" t="s">
        <v>19</v>
      </c>
      <c r="D6" s="5" t="s">
        <v>30</v>
      </c>
      <c r="E6" s="5" t="s">
        <v>31</v>
      </c>
      <c r="F6" s="6">
        <v>78000</v>
      </c>
      <c r="G6" s="6">
        <v>38000</v>
      </c>
      <c r="H6" s="6">
        <v>20000</v>
      </c>
      <c r="I6" s="6">
        <v>20000</v>
      </c>
    </row>
    <row r="7" spans="1:9" x14ac:dyDescent="0.25">
      <c r="A7" s="5" t="s">
        <v>37</v>
      </c>
      <c r="B7" s="5">
        <v>2026</v>
      </c>
      <c r="C7" s="5" t="s">
        <v>19</v>
      </c>
      <c r="D7" s="5" t="s">
        <v>38</v>
      </c>
      <c r="E7" s="5" t="s">
        <v>34</v>
      </c>
      <c r="F7" s="6">
        <v>110000</v>
      </c>
      <c r="G7" s="6">
        <v>60000</v>
      </c>
      <c r="H7" s="6">
        <v>16000</v>
      </c>
      <c r="I7" s="6">
        <v>34000</v>
      </c>
    </row>
    <row r="8" spans="1:9" x14ac:dyDescent="0.25">
      <c r="A8" s="5" t="s">
        <v>39</v>
      </c>
      <c r="B8" s="5">
        <v>2026</v>
      </c>
      <c r="C8" s="5" t="s">
        <v>20</v>
      </c>
      <c r="D8" s="5" t="s">
        <v>27</v>
      </c>
      <c r="E8" s="5" t="s">
        <v>28</v>
      </c>
      <c r="F8" s="6">
        <v>165000</v>
      </c>
      <c r="G8" s="6">
        <v>90000</v>
      </c>
      <c r="H8" s="6">
        <v>18000</v>
      </c>
      <c r="I8" s="6">
        <v>57000</v>
      </c>
    </row>
    <row r="9" spans="1:9" x14ac:dyDescent="0.25">
      <c r="A9" s="5" t="s">
        <v>40</v>
      </c>
      <c r="B9" s="5">
        <v>2026</v>
      </c>
      <c r="C9" s="5" t="s">
        <v>20</v>
      </c>
      <c r="D9" s="5" t="s">
        <v>30</v>
      </c>
      <c r="E9" s="5" t="s">
        <v>31</v>
      </c>
      <c r="F9" s="6">
        <v>92000</v>
      </c>
      <c r="G9" s="6">
        <v>45000</v>
      </c>
      <c r="H9" s="6">
        <v>22000</v>
      </c>
      <c r="I9" s="6">
        <v>25000</v>
      </c>
    </row>
    <row r="10" spans="1:9" x14ac:dyDescent="0.25">
      <c r="A10" s="5" t="s">
        <v>41</v>
      </c>
      <c r="B10" s="5">
        <v>2026</v>
      </c>
      <c r="C10" s="5" t="s">
        <v>20</v>
      </c>
      <c r="D10" s="5" t="s">
        <v>33</v>
      </c>
      <c r="E10" s="5" t="s">
        <v>34</v>
      </c>
      <c r="F10" s="6">
        <v>140000</v>
      </c>
      <c r="G10" s="6">
        <v>72000</v>
      </c>
      <c r="H10" s="6">
        <v>15000</v>
      </c>
      <c r="I10" s="6">
        <v>53000</v>
      </c>
    </row>
    <row r="11" spans="1:9" x14ac:dyDescent="0.25">
      <c r="A11" s="5" t="s">
        <v>42</v>
      </c>
      <c r="B11" s="5">
        <v>2026</v>
      </c>
      <c r="C11" s="5" t="s">
        <v>21</v>
      </c>
      <c r="D11" s="5" t="s">
        <v>27</v>
      </c>
      <c r="E11" s="5" t="s">
        <v>28</v>
      </c>
      <c r="F11" s="6">
        <v>185000</v>
      </c>
      <c r="G11" s="6">
        <v>98000</v>
      </c>
      <c r="H11" s="6">
        <v>19000</v>
      </c>
      <c r="I11" s="6">
        <v>68000</v>
      </c>
    </row>
    <row r="12" spans="1:9" x14ac:dyDescent="0.25">
      <c r="A12" s="5" t="s">
        <v>43</v>
      </c>
      <c r="B12" s="5">
        <v>2026</v>
      </c>
      <c r="C12" s="5" t="s">
        <v>21</v>
      </c>
      <c r="D12" s="5" t="s">
        <v>30</v>
      </c>
      <c r="E12" s="5" t="s">
        <v>31</v>
      </c>
      <c r="F12" s="6">
        <v>105000</v>
      </c>
      <c r="G12" s="6">
        <v>50000</v>
      </c>
      <c r="H12" s="6">
        <v>25000</v>
      </c>
      <c r="I12" s="6">
        <v>30000</v>
      </c>
    </row>
    <row r="13" spans="1:9" x14ac:dyDescent="0.25">
      <c r="A13" s="5" t="s">
        <v>44</v>
      </c>
      <c r="B13" s="5">
        <v>2026</v>
      </c>
      <c r="C13" s="5" t="s">
        <v>21</v>
      </c>
      <c r="D13" s="5" t="s">
        <v>38</v>
      </c>
      <c r="E13" s="5" t="s">
        <v>34</v>
      </c>
      <c r="F13" s="6">
        <v>160000</v>
      </c>
      <c r="G13" s="6">
        <v>85000</v>
      </c>
      <c r="H13" s="6">
        <v>18000</v>
      </c>
      <c r="I13" s="6">
        <v>57000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topLeftCell="A13" workbookViewId="0">
      <selection activeCell="E34" sqref="E34"/>
    </sheetView>
  </sheetViews>
  <sheetFormatPr baseColWidth="10" defaultColWidth="9.140625" defaultRowHeight="15" x14ac:dyDescent="0.25"/>
  <cols>
    <col min="1" max="1" width="90" customWidth="1"/>
  </cols>
  <sheetData>
    <row r="1" spans="1:7" ht="23.25" x14ac:dyDescent="0.35">
      <c r="A1" s="1" t="s">
        <v>45</v>
      </c>
    </row>
    <row r="2" spans="1:7" x14ac:dyDescent="0.25">
      <c r="A2" s="2" t="s">
        <v>46</v>
      </c>
    </row>
    <row r="4" spans="1:7" ht="15.75" x14ac:dyDescent="0.25">
      <c r="A4" s="3" t="s">
        <v>47</v>
      </c>
    </row>
    <row r="5" spans="1:7" x14ac:dyDescent="0.25">
      <c r="A5" s="17" t="s">
        <v>48</v>
      </c>
      <c r="B5" s="18"/>
      <c r="C5" s="18"/>
      <c r="D5" s="18"/>
      <c r="E5" s="18"/>
      <c r="F5" s="18"/>
      <c r="G5" s="18"/>
    </row>
    <row r="6" spans="1:7" x14ac:dyDescent="0.25">
      <c r="A6" s="18"/>
      <c r="B6" s="18"/>
      <c r="C6" s="18"/>
      <c r="D6" s="18"/>
      <c r="E6" s="18"/>
      <c r="F6" s="18"/>
      <c r="G6" s="18"/>
    </row>
    <row r="7" spans="1:7" x14ac:dyDescent="0.25">
      <c r="A7" s="18"/>
      <c r="B7" s="18"/>
      <c r="C7" s="18"/>
      <c r="D7" s="18"/>
      <c r="E7" s="18"/>
      <c r="F7" s="18"/>
      <c r="G7" s="18"/>
    </row>
    <row r="9" spans="1:7" ht="15.75" x14ac:dyDescent="0.25">
      <c r="A9" s="3" t="s">
        <v>49</v>
      </c>
    </row>
    <row r="10" spans="1:7" x14ac:dyDescent="0.25">
      <c r="A10" s="17" t="s">
        <v>50</v>
      </c>
      <c r="B10" s="18"/>
      <c r="C10" s="18"/>
      <c r="D10" s="18"/>
      <c r="E10" s="18"/>
      <c r="F10" s="18"/>
      <c r="G10" s="18"/>
    </row>
    <row r="11" spans="1:7" x14ac:dyDescent="0.25">
      <c r="A11" s="18"/>
      <c r="B11" s="18"/>
      <c r="C11" s="18"/>
      <c r="D11" s="18"/>
      <c r="E11" s="18"/>
      <c r="F11" s="18"/>
      <c r="G11" s="18"/>
    </row>
    <row r="12" spans="1:7" x14ac:dyDescent="0.25">
      <c r="A12" s="18"/>
      <c r="B12" s="18"/>
      <c r="C12" s="18"/>
      <c r="D12" s="18"/>
      <c r="E12" s="18"/>
      <c r="F12" s="18"/>
      <c r="G12" s="18"/>
    </row>
    <row r="14" spans="1:7" ht="15.75" x14ac:dyDescent="0.25">
      <c r="A14" s="3" t="s">
        <v>51</v>
      </c>
    </row>
    <row r="15" spans="1:7" x14ac:dyDescent="0.25">
      <c r="A15" s="17" t="s">
        <v>52</v>
      </c>
      <c r="B15" s="18"/>
      <c r="C15" s="18"/>
      <c r="D15" s="18"/>
      <c r="E15" s="18"/>
      <c r="F15" s="18"/>
      <c r="G15" s="18"/>
    </row>
    <row r="16" spans="1:7" x14ac:dyDescent="0.25">
      <c r="A16" s="18"/>
      <c r="B16" s="18"/>
      <c r="C16" s="18"/>
      <c r="D16" s="18"/>
      <c r="E16" s="18"/>
      <c r="F16" s="18"/>
      <c r="G16" s="18"/>
    </row>
    <row r="17" spans="1:7" ht="87" customHeight="1" x14ac:dyDescent="0.25">
      <c r="A17" s="18"/>
      <c r="B17" s="18"/>
      <c r="C17" s="18"/>
      <c r="D17" s="18"/>
      <c r="E17" s="18"/>
      <c r="F17" s="18"/>
      <c r="G17" s="18"/>
    </row>
    <row r="19" spans="1:7" ht="15.75" x14ac:dyDescent="0.25">
      <c r="A19" s="19" t="s">
        <v>53</v>
      </c>
      <c r="B19" s="20"/>
      <c r="C19" s="20"/>
      <c r="D19" s="20"/>
      <c r="E19" s="20"/>
      <c r="F19" s="20"/>
      <c r="G19" s="20"/>
    </row>
    <row r="20" spans="1:7" x14ac:dyDescent="0.25">
      <c r="A20" s="17" t="s">
        <v>54</v>
      </c>
      <c r="B20" s="21"/>
      <c r="C20" s="21"/>
      <c r="D20" s="21"/>
      <c r="E20" s="21"/>
      <c r="F20" s="21"/>
      <c r="G20" s="21"/>
    </row>
    <row r="21" spans="1:7" x14ac:dyDescent="0.25">
      <c r="A21" s="21"/>
      <c r="B21" s="21"/>
      <c r="C21" s="21"/>
      <c r="D21" s="21"/>
      <c r="E21" s="21"/>
      <c r="F21" s="21"/>
      <c r="G21" s="21"/>
    </row>
    <row r="22" spans="1:7" ht="55.5" customHeight="1" x14ac:dyDescent="0.25">
      <c r="A22" s="21"/>
      <c r="B22" s="21"/>
      <c r="C22" s="21"/>
      <c r="D22" s="21"/>
      <c r="E22" s="21"/>
      <c r="F22" s="21"/>
      <c r="G22" s="21"/>
    </row>
    <row r="24" spans="1:7" ht="15.75" x14ac:dyDescent="0.25">
      <c r="A24" s="3" t="s">
        <v>55</v>
      </c>
    </row>
    <row r="25" spans="1:7" x14ac:dyDescent="0.25">
      <c r="A25" s="17" t="s">
        <v>56</v>
      </c>
      <c r="B25" s="18"/>
      <c r="C25" s="18"/>
      <c r="D25" s="18"/>
      <c r="E25" s="18"/>
      <c r="F25" s="18"/>
      <c r="G25" s="18"/>
    </row>
    <row r="26" spans="1:7" x14ac:dyDescent="0.25">
      <c r="A26" s="18"/>
      <c r="B26" s="18"/>
      <c r="C26" s="18"/>
      <c r="D26" s="18"/>
      <c r="E26" s="18"/>
      <c r="F26" s="18"/>
      <c r="G26" s="18"/>
    </row>
    <row r="27" spans="1:7" ht="32.25" customHeight="1" x14ac:dyDescent="0.25">
      <c r="A27" s="18"/>
      <c r="B27" s="18"/>
      <c r="C27" s="18"/>
      <c r="D27" s="18"/>
      <c r="E27" s="18"/>
      <c r="F27" s="18"/>
      <c r="G27" s="18"/>
    </row>
  </sheetData>
  <mergeCells count="5">
    <mergeCell ref="A25:G27"/>
    <mergeCell ref="A10:G12"/>
    <mergeCell ref="A5:G7"/>
    <mergeCell ref="A20:G22"/>
    <mergeCell ref="A15:G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Dashboard Final</vt:lpstr>
      <vt:lpstr>Datos_Modelados</vt:lpstr>
      <vt:lpstr>Auditoria_Cognitiva_IA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Lia S FEL</cp:lastModifiedBy>
  <dcterms:created xsi:type="dcterms:W3CDTF">2026-09-10T13:09:13Z</dcterms:created>
  <dcterms:modified xsi:type="dcterms:W3CDTF">2026-09-10T13:42:17Z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